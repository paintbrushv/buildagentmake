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1e8edb73a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5fe756a2bd54040"/>
    <x:sheet xmlns:r="http://schemas.openxmlformats.org/officeDocument/2006/relationships" name="Manual work" sheetId="2" r:id="Rda5270a560c74311"/>
    <x:sheet xmlns:r="http://schemas.openxmlformats.org/officeDocument/2006/relationships" name="Facts" sheetId="3" r:id="Rf579ce40328c46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yyyy-mm-dd hh:mm:ss"/>
    <x:numFmt numFmtId="202" formatCode="yyyy-mm-dd"/>
    <x:numFmt numFmtId="203" formatCode="0.0000"/>
    <x:numFmt numFmtId="204" formatCode="#,##0"/>
  </x:numFmts>
  <x:fonts count="4">
    <x:font>
      <x:sz val="11"/>
      <x:name val="Carlito"/>
    </x:font>
    <x:font>
      <x:sz val="10"/>
      <x:color rgb="FF243348"/>
      <x:name val="Arial"/>
    </x:font>
    <x:font>
      <x:b/>
      <x:sz val="14"/>
      <x:color rgb="FF162B4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45E"/>
      </x:patternFill>
    </x:fill>
    <x:fill>
      <x:patternFill patternType="solid">
        <x:fgColor rgb="FFFFF1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33509fa23b4e6b" /><Relationship Type="http://schemas.openxmlformats.org/officeDocument/2006/relationships/theme" Target="/xl/theme/theme1.xml" Id="Rd492864cf76e4ad4" /><Relationship Type="http://schemas.microsoft.com/office/2022/11/relationships/FeaturePropertyBag" Target="/xl/featurePropertyBag/featurePropertyBag.xml" Id="R70e89f15016b4c2f" /><Relationship Type="http://schemas.openxmlformats.org/officeDocument/2006/relationships/sharedStrings" Target="/xl/sharedStrings.xml" Id="R8abd4857497e4bfc" /><Relationship Type="http://schemas.openxmlformats.org/officeDocument/2006/relationships/worksheet" Target="/xl/worksheets/sheet1.xml" Id="R05fe756a2bd54040" /><Relationship Type="http://schemas.openxmlformats.org/officeDocument/2006/relationships/worksheet" Target="/xl/worksheets/sheet2.xml" Id="Rda5270a560c74311" /><Relationship Type="http://schemas.openxmlformats.org/officeDocument/2006/relationships/worksheet" Target="/xl/worksheets/sheet3.xml" Id="Rf579ce40328c46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umanTiming" displayName="HumanTiming" ref="A21:L27" headerRowCount="1" totalsRowCount="0" totalsRowShown="0">
  <x:autoFilter ref="A21:L27"/>
  <x:tableColumns count="12">
    <x:tableColumn id="1" name="Participant ID"/>
    <x:tableColumn id="2" name="Order (A/B)"/>
    <x:tableColumn id="3" name="Method"/>
    <x:tableColumn id="4" name="Task"/>
    <x:tableColumn id="5" name="Start UTC"/>
    <x:tableColumn id="6" name="End UTC"/>
    <x:tableColumn id="7" name="Elapsed sec"/>
    <x:tableColumn id="8" name="Completion"/>
    <x:tableColumn id="9" name="Errors"/>
    <x:tableColumn id="10" name="Help requests"/>
    <x:tableColumn id="11" name="Failed task"/>
    <x:tableColumn id="12" name="Observer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akeWork" displayName="IntakeWork" ref="A5:B18" headerRowCount="1" totalsRowCount="0" totalsRowShown="0">
  <x:autoFilter ref="A5:B18"/>
  <x:tableColumns count="2">
    <x:tableColumn id="1" name="Intake field"/>
    <x:tableColumn id="2" name="Your entr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nualComparisons" displayName="ManualComparisons" ref="A22:F38" headerRowCount="1" totalsRowCount="0" totalsRowShown="0">
  <x:autoFilter ref="A22:F38"/>
  <x:tableColumns count="6">
    <x:tableColumn id="1" name="Request ID"/>
    <x:tableColumn id="2" name="Supplier name"/>
    <x:tableColumn id="3" name="Supplier ID"/>
    <x:tableColumn id="4" name="Ready / not ready"/>
    <x:tableColumn id="5" name="Exclusion reason(s)"/>
    <x:tableColumn id="6" name="Source references /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Packet" displayName="ReviewPacket" ref="A43:B57" headerRowCount="1" totalsRowCount="0" totalsRowShown="0">
  <x:autoFilter ref="A43:B57"/>
  <x:tableColumns count="2">
    <x:tableColumn id="1" name="Packet field"/>
    <x:tableColumn id="2" name="Your entr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questFacts" displayName="RequestFacts" ref="A6:L10" headerRowCount="1" totalsRowCount="0" totalsRowShown="0">
  <x:autoFilter ref="A6:L10"/>
  <x:tableColumns count="12">
    <x:tableColumn id="1" name="Request ID"/>
    <x:tableColumn id="2" name="Part"/>
    <x:tableColumn id="3" name="Process"/>
    <x:tableColumn id="4" name="Material"/>
    <x:tableColumn id="5" name="Max tolerance (inches)"/>
    <x:tableColumn id="6" name="Quantity"/>
    <x:tableColumn id="7" name="Qualification"/>
    <x:tableColumn id="8" name="US manufacturing required"/>
    <x:tableColumn id="9" name="Customer"/>
    <x:tableColumn id="10" name="Drawing revision"/>
    <x:tableColumn id="11" name="Request revision"/>
    <x:tableColumn id="12" name="Due d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upplierFacts" displayName="SupplierFacts" ref="A14:I18" headerRowCount="1" totalsRowCount="0" totalsRowShown="0">
  <x:autoFilter ref="A14:I18"/>
  <x:tableColumns count="9">
    <x:tableColumn id="1" name="Supplier ID"/>
    <x:tableColumn id="2" name="Name"/>
    <x:tableColumn id="3" name="City"/>
    <x:tableColumn id="4" name="Region"/>
    <x:tableColumn id="5" name="Country"/>
    <x:tableColumn id="6" name="Processes"/>
    <x:tableColumn id="7" name="Materials"/>
    <x:tableColumn id="8" name="Max tolerance (inches)"/>
    <x:tableColumn id="9" name="Maximum lot siz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QualificationFacts" displayName="QualificationFacts" ref="A22:K30" headerRowCount="1" totalsRowCount="0" totalsRowShown="0">
  <x:autoFilter ref="A22:K30"/>
  <x:tableColumns count="11">
    <x:tableColumn id="1" name="Supplier ID"/>
    <x:tableColumn id="2" name="Qualification"/>
    <x:tableColumn id="3" name="Status"/>
    <x:tableColumn id="4" name="Valid from"/>
    <x:tableColumn id="5" name="Valid until"/>
    <x:tableColumn id="6" name="Scope confirmed"/>
    <x:tableColumn id="7" name="Verified by"/>
    <x:tableColumn id="8" name="Certificate source reference"/>
    <x:tableColumn id="9" name="Certificate site ID"/>
    <x:tableColumn id="10" name="Reviewed at UTC"/>
    <x:tableColumn id="11" name="Observ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iteFacts" displayName="SiteFacts" ref="A34:J38" headerRowCount="1" totalsRowCount="0" totalsRowShown="0">
  <x:autoFilter ref="A34:J38"/>
  <x:tableColumns count="10">
    <x:tableColumn id="1" name="Supplier ID"/>
    <x:tableColumn id="2" name="Site source reference"/>
    <x:tableColumn id="3" name="Site reviewed"/>
    <x:tableColumn id="4" name="Site reviewer"/>
    <x:tableColumn id="5" name="Site ID"/>
    <x:tableColumn id="6" name="Site reviewed UTC"/>
    <x:tableColumn id="7" name="Capability source ID"/>
    <x:tableColumn id="8" name="Capability source label"/>
    <x:tableColumn id="9" name="Capability observed"/>
    <x:tableColumn id="10" name="Qualification reviewer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takeCard" displayName="IntakeCard" ref="A43:B52" headerRowCount="1" totalsRowCount="0" totalsRowShown="0">
  <x:autoFilter ref="A43:B52"/>
  <x:tableColumns count="2">
    <x:tableColumn id="1" name="Card label"/>
    <x:tableColumn id="2" name="Supplied tex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ertificateNotes" displayName="CertificateNotes" ref="A62:D70" headerRowCount="1" totalsRowCount="0" totalsRowShown="0">
  <x:autoFilter ref="A62:D70"/>
  <x:tableColumns count="4">
    <x:tableColumn id="1" name="Supplier ID"/>
    <x:tableColumn id="2" name="Qualification"/>
    <x:tableColumn id="3" name="Source label"/>
    <x:tableColumn id="4" name="Source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a3f1df11144e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87f5d30eb943e3" /><Relationship Type="http://schemas.openxmlformats.org/officeDocument/2006/relationships/table" Target="/xl/tables/table3.xml" Id="Re8b1a141acfc4467" /><Relationship Type="http://schemas.openxmlformats.org/officeDocument/2006/relationships/table" Target="/xl/tables/table4.xml" Id="R0dfa215a541b47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65f0c6784b014f5b" /><Relationship Type="http://schemas.openxmlformats.org/officeDocument/2006/relationships/table" Target="/xl/tables/table6.xml" Id="R06610da0cc6a4bd5" /><Relationship Type="http://schemas.openxmlformats.org/officeDocument/2006/relationships/table" Target="/xl/tables/table7.xml" Id="R1a4f319b75d24218" /><Relationship Type="http://schemas.openxmlformats.org/officeDocument/2006/relationships/table" Target="/xl/tables/table8.xml" Id="R21be41b06ebf4ebe" /><Relationship Type="http://schemas.openxmlformats.org/officeDocument/2006/relationships/table" Target="/xl/tables/table9.xml" Id="R45a4a348d7094065" /><Relationship Type="http://schemas.openxmlformats.org/officeDocument/2006/relationships/table" Target="/xl/tables/table10.xml" Id="Red35b3245c0045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19" hidden="0" customWidth="1"/>
    <x:col min="4" max="4" width="18" hidden="0" customWidth="1"/>
    <x:col min="5" max="5" width="25" hidden="0" customWidth="1"/>
    <x:col min="6" max="6" width="25" hidden="0" customWidth="1"/>
    <x:col min="7" max="7" width="16" hidden="0" customWidth="1"/>
    <x:col min="8" max="8" width="21" hidden="0" customWidth="1"/>
    <x:col min="9" max="9" width="14" hidden="0" customWidth="1"/>
    <x:col min="10" max="10" width="14" hidden="0" customWidth="1"/>
    <x:col min="11" max="11" width="15" hidden="0" customWidth="1"/>
    <x:col min="12" max="12" width="4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Manual supplier desk baseline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 t="str">
        <x:v>Synthetic supplier exercise. Use the same fixed facts and as-of date for both methods.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 t="str">
        <x:v>Use normal spreadsheet filter, sort, Find, copy and formulas as you wish. Amber cells accept your work.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2" t="str">
        <x:v>Facts are supplied on Facts. Enter outputs on Manual work. Do not add the intake supplier to the four-supplier comparison.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2" t="str">
        <x:v>Task 1: Create a supplier profile from the capability card, then find that profile by its manufacturer name.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4" customHeight="1">
      <x:c r="A9" s="2" t="str">
        <x:v>Task 2: For each of the four requests, identify every supplier ready for RFQ drafting and explain exclusions.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4" customHeight="1">
      <x:c r="A10" s="2" t="str">
        <x:v>Task 3: Prepare a named review packet for the camera mounting bracket, including decision, rationale and source references.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4" customHeight="1">
      <x:c r="A12" s="2" t="str">
        <x:v>Ready means exact process and material, tolerance no larger than requested and lot capacity at least quantity.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4" customHeight="1">
      <x:c r="A13" s="2" t="str">
        <x:v>Required qualification must be verified, in-date, scope confirmed, source-referenced, match the site and have a named reviewer.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4" customHeight="1">
      <x:c r="A14" s="2" t="str">
        <x:v>US manufacturing also requires country US, reviewed site, source reference and site reviewer. Missing evidence blocks readiness.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4" customHeight="1">
      <x:c r="A15" s="2" t="str">
        <x:v>Use only supplied facts. Self-reported claims are not reviewed qualification or domestic manufacturing evidence.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4" customHeight="1">
      <x:c r="A17" s="2" t="str">
        <x:v>Actual human results: pending (participants n=0). No completed human run is recorded.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A18" s="2" t="str">
        <x:v>Timed tasks (n)</x:v>
      </x:c>
      <x:c r="B18" s="4" t="n">
        <x:f>COUNT(G22:G27)</x:f>
        <x:v>0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 t="str">
        <x:v>Observer: record UTC start/end as Excel date-times. Leave untimed cells blank. Enter completion and error/help counts after each task.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38" customHeight="1">
      <x:c r="A21" s="8" t="str">
        <x:v>Participant ID</x:v>
      </x:c>
      <x:c r="B21" s="8" t="str">
        <x:v>Order (A/B)</x:v>
      </x:c>
      <x:c r="C21" s="8" t="str">
        <x:v>Method</x:v>
      </x:c>
      <x:c r="D21" s="8" t="str">
        <x:v>Task</x:v>
      </x:c>
      <x:c r="E21" s="8" t="str">
        <x:v>Start UTC</x:v>
      </x:c>
      <x:c r="F21" s="8" t="str">
        <x:v>End UTC</x:v>
      </x:c>
      <x:c r="G21" s="8" t="str">
        <x:v>Elapsed sec</x:v>
      </x:c>
      <x:c r="H21" s="8" t="str">
        <x:v>Completion</x:v>
      </x:c>
      <x:c r="I21" s="8" t="str">
        <x:v>Errors</x:v>
      </x:c>
      <x:c r="J21" s="8" t="str">
        <x:v>Help requests</x:v>
      </x:c>
      <x:c r="K21" s="8" t="str">
        <x:v>Failed task</x:v>
      </x:c>
      <x:c r="L21" s="8" t="str">
        <x:v>Observer notes</x:v>
      </x:c>
    </x:row>
    <x:row r="22" ht="24" customHeight="1">
      <x:c r="A22" s="9"/>
      <x:c r="B22" s="9"/>
      <x:c r="C22" s="2" t="str">
        <x:v>Workbook</x:v>
      </x:c>
      <x:c r="D22" s="2" t="n">
        <x:v>1</x:v>
      </x:c>
      <x:c r="E22" s="10"/>
      <x:c r="F22" s="10"/>
      <x:c r="G22" s="4" t="str">
        <x:f>IF(OR(E22="",F22=""),"",IF(F22&lt;E22,"Check timestamps",ROUND((F22-E22)*86400,0)))</x:f>
      </x:c>
      <x:c r="H22" s="11"/>
      <x:c r="I22" s="11"/>
      <x:c r="J22" s="11"/>
      <x:c r="K22" s="11"/>
      <x:c r="L22" s="9"/>
    </x:row>
    <x:row r="23" ht="24" customHeight="1">
      <x:c r="A23" s="9"/>
      <x:c r="B23" s="9"/>
      <x:c r="C23" s="2" t="str">
        <x:v>Workbook</x:v>
      </x:c>
      <x:c r="D23" s="2" t="n">
        <x:v>2</x:v>
      </x:c>
      <x:c r="E23" s="10"/>
      <x:c r="F23" s="10"/>
      <x:c r="G23" s="4" t="str">
        <x:f>IF(OR(E23="",F23=""),"",IF(F23&lt;E23,"Check timestamps",ROUND((F23-E23)*86400,0)))</x:f>
      </x:c>
      <x:c r="H23" s="11"/>
      <x:c r="I23" s="11"/>
      <x:c r="J23" s="11"/>
      <x:c r="K23" s="11"/>
      <x:c r="L23" s="9"/>
    </x:row>
    <x:row r="24" ht="24" customHeight="1">
      <x:c r="A24" s="9"/>
      <x:c r="B24" s="9"/>
      <x:c r="C24" s="2" t="str">
        <x:v>Workbook</x:v>
      </x:c>
      <x:c r="D24" s="2" t="n">
        <x:v>3</x:v>
      </x:c>
      <x:c r="E24" s="10"/>
      <x:c r="F24" s="10"/>
      <x:c r="G24" s="4" t="str">
        <x:f>IF(OR(E24="",F24=""),"",IF(F24&lt;E24,"Check timestamps",ROUND((F24-E24)*86400,0)))</x:f>
      </x:c>
      <x:c r="H24" s="11"/>
      <x:c r="I24" s="11"/>
      <x:c r="J24" s="11"/>
      <x:c r="K24" s="11"/>
      <x:c r="L24" s="9"/>
    </x:row>
    <x:row r="25" ht="24" customHeight="1">
      <x:c r="A25" s="9"/>
      <x:c r="B25" s="9"/>
      <x:c r="C25" s="2" t="str">
        <x:v>Forgepath</x:v>
      </x:c>
      <x:c r="D25" s="2" t="n">
        <x:v>1</x:v>
      </x:c>
      <x:c r="E25" s="10"/>
      <x:c r="F25" s="10"/>
      <x:c r="G25" s="4" t="str">
        <x:f>IF(OR(E25="",F25=""),"",IF(F25&lt;E25,"Check timestamps",ROUND((F25-E25)*86400,0)))</x:f>
      </x:c>
      <x:c r="H25" s="11"/>
      <x:c r="I25" s="11"/>
      <x:c r="J25" s="11"/>
      <x:c r="K25" s="11"/>
      <x:c r="L25" s="9"/>
    </x:row>
    <x:row r="26" ht="24" customHeight="1">
      <x:c r="A26" s="9"/>
      <x:c r="B26" s="9"/>
      <x:c r="C26" s="2" t="str">
        <x:v>Forgepath</x:v>
      </x:c>
      <x:c r="D26" s="2" t="n">
        <x:v>2</x:v>
      </x:c>
      <x:c r="E26" s="10"/>
      <x:c r="F26" s="10"/>
      <x:c r="G26" s="4" t="str">
        <x:f>IF(OR(E26="",F26=""),"",IF(F26&lt;E26,"Check timestamps",ROUND((F26-E26)*86400,0)))</x:f>
      </x:c>
      <x:c r="H26" s="11"/>
      <x:c r="I26" s="11"/>
      <x:c r="J26" s="11"/>
      <x:c r="K26" s="11"/>
      <x:c r="L26" s="9"/>
    </x:row>
    <x:row r="27" ht="24" customHeight="1">
      <x:c r="A27" s="9"/>
      <x:c r="B27" s="9"/>
      <x:c r="C27" s="2" t="str">
        <x:v>Forgepath</x:v>
      </x:c>
      <x:c r="D27" s="2" t="n">
        <x:v>3</x:v>
      </x:c>
      <x:c r="E27" s="10"/>
      <x:c r="F27" s="10"/>
      <x:c r="G27" s="4" t="str">
        <x:f>IF(OR(E27="",F27=""),"",IF(F27&lt;E27,"Check timestamps",ROUND((F27-E27)*86400,0)))</x:f>
      </x:c>
      <x:c r="H27" s="11"/>
      <x:c r="I27" s="11"/>
      <x:c r="J27" s="11"/>
      <x:c r="K27" s="11"/>
      <x:c r="L27" s="9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</x:sheetData>
  <x:dataValidations count="2">
    <x:dataValidation type="list" sqref="H22:H27">
      <x:formula1>"Completed,Incomplete,Abandoned"</x:formula1>
    </x:dataValidation>
    <x:dataValidation type="list" sqref="K22:K27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a3f1df11144e7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59" hidden="0" customWidth="1"/>
    <x:col min="3" max="3" width="30" hidden="0" customWidth="1"/>
    <x:col min="4" max="4" width="38" hidden="0" customWidth="1"/>
    <x:col min="5" max="5" width="29" hidden="0" customWidth="1"/>
    <x:col min="6" max="6" width="5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Manual work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Fill amber cells. These fields are a starting point; normal spreadsheet tools and your own layout are allowed.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8" customHeight="1">
      <x:c r="A5" s="8" t="str">
        <x:v>Intake field</x:v>
      </x:c>
      <x:c r="B5" s="8" t="str">
        <x:v>Your entry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2" t="str">
        <x:v>Manufacturer name</x:v>
      </x:c>
      <x:c r="B6" s="9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4" customHeight="1">
      <x:c r="A7" s="2" t="str">
        <x:v>City</x:v>
      </x:c>
      <x:c r="B7" s="9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2" t="str">
        <x:v>Region</x:v>
      </x:c>
      <x:c r="B8" s="9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4" customHeight="1">
      <x:c r="A9" s="2" t="str">
        <x:v>Country</x:v>
      </x:c>
      <x:c r="B9" s="9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4" customHeight="1">
      <x:c r="A10" s="2" t="str">
        <x:v>Processes</x:v>
      </x:c>
      <x:c r="B10" s="9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4" customHeight="1">
      <x:c r="A11" s="2" t="str">
        <x:v>Materials</x:v>
      </x:c>
      <x:c r="B11" s="9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4" customHeight="1">
      <x:c r="A12" s="2" t="str">
        <x:v>Tolerance (inches)</x:v>
      </x:c>
      <x:c r="B12" s="9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4" customHeight="1">
      <x:c r="A13" s="2" t="str">
        <x:v>Maximum lot size</x:v>
      </x:c>
      <x:c r="B13" s="9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4" customHeight="1">
      <x:c r="A14" s="2" t="str">
        <x:v>Source reference</x:v>
      </x:c>
      <x:c r="B14" s="9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4" customHeight="1">
      <x:c r="A15" s="2" t="str">
        <x:v>Description</x:v>
      </x:c>
      <x:c r="B15" s="9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4" customHeight="1">
      <x:c r="A16" s="2" t="str">
        <x:v>Record type / evidence status</x:v>
      </x:c>
      <x:c r="B16" s="9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4" customHeight="1">
      <x:c r="A17" s="2" t="str">
        <x:v>Found by manufacturer name?</x:v>
      </x:c>
      <x:c r="B17" s="9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A18" s="2" t="str">
        <x:v>Intake notes</x:v>
      </x:c>
      <x:c r="B18" s="9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3" t="str">
        <x:v>Supplier comparison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38" customHeight="1">
      <x:c r="A22" s="8" t="str">
        <x:v>Request ID</x:v>
      </x:c>
      <x:c r="B22" s="8" t="str">
        <x:v>Supplier name</x:v>
      </x:c>
      <x:c r="C22" s="8" t="str">
        <x:v>Supplier ID</x:v>
      </x:c>
      <x:c r="D22" s="8" t="str">
        <x:v>Ready / not ready</x:v>
      </x:c>
      <x:c r="E22" s="8" t="str">
        <x:v>Exclusion reason(s)</x:v>
      </x:c>
      <x:c r="F22" s="8" t="str">
        <x:v>Source references / notes</x:v>
      </x:c>
      <x:c r="G22" s="2"/>
      <x:c r="H22" s="2"/>
      <x:c r="I22" s="2"/>
      <x:c r="J22" s="2"/>
      <x:c r="K22" s="2"/>
      <x:c r="L22" s="2"/>
    </x:row>
    <x:row r="23" ht="24" customHeight="1">
      <x:c r="A23" s="2" t="str">
        <x:v>REQ-UAS-BRACKET</x:v>
      </x:c>
      <x:c r="B23" s="2" t="str">
        <x:v>Northline Precision (fictional)</x:v>
      </x:c>
      <x:c r="C23" s="2" t="str">
        <x:v>SUP-DEMO-001</x:v>
      </x:c>
      <x:c r="D23" s="9"/>
      <x:c r="E23" s="9"/>
      <x:c r="F23" s="9"/>
      <x:c r="G23" s="2"/>
      <x:c r="H23" s="2"/>
      <x:c r="I23" s="2"/>
      <x:c r="J23" s="2"/>
      <x:c r="K23" s="2"/>
      <x:c r="L23" s="2"/>
    </x:row>
    <x:row r="24" ht="24" customHeight="1">
      <x:c r="A24" s="2" t="str">
        <x:v>REQ-UAS-BRACKET</x:v>
      </x:c>
      <x:c r="B24" s="2" t="str">
        <x:v>Red River Toolworks (fictional)</x:v>
      </x:c>
      <x:c r="C24" s="2" t="str">
        <x:v>SUP-DEMO-002</x:v>
      </x:c>
      <x:c r="D24" s="9"/>
      <x:c r="E24" s="9"/>
      <x:c r="F24" s="9"/>
      <x:c r="G24" s="2"/>
      <x:c r="H24" s="2"/>
      <x:c r="I24" s="2"/>
      <x:c r="J24" s="2"/>
      <x:c r="K24" s="2"/>
      <x:c r="L24" s="2"/>
    </x:row>
    <x:row r="25" ht="24" customHeight="1">
      <x:c r="A25" s="2" t="str">
        <x:v>REQ-UAS-BRACKET</x:v>
      </x:c>
      <x:c r="B25" s="2" t="str">
        <x:v>Texoma Polymer Works (fictional)</x:v>
      </x:c>
      <x:c r="C25" s="2" t="str">
        <x:v>SUP-DEMO-003</x:v>
      </x:c>
      <x:c r="D25" s="9"/>
      <x:c r="E25" s="9"/>
      <x:c r="F25" s="9"/>
      <x:c r="G25" s="2"/>
      <x:c r="H25" s="2"/>
      <x:c r="I25" s="2"/>
      <x:c r="J25" s="2"/>
      <x:c r="K25" s="2"/>
      <x:c r="L25" s="2"/>
    </x:row>
    <x:row r="26" ht="24" customHeight="1">
      <x:c r="A26" s="2" t="str">
        <x:v>REQ-UAS-BRACKET</x:v>
      </x:c>
      <x:c r="B26" s="2" t="str">
        <x:v>Prairie Airframe Components (fictional)</x:v>
      </x:c>
      <x:c r="C26" s="2" t="str">
        <x:v>SUP-DEMO-004</x:v>
      </x:c>
      <x:c r="D26" s="9"/>
      <x:c r="E26" s="9"/>
      <x:c r="F26" s="9"/>
      <x:c r="G26" s="2"/>
      <x:c r="H26" s="2"/>
      <x:c r="I26" s="2"/>
      <x:c r="J26" s="2"/>
      <x:c r="K26" s="2"/>
      <x:c r="L26" s="2"/>
    </x:row>
    <x:row r="27" ht="24" customHeight="1">
      <x:c r="A27" s="2" t="str">
        <x:v>REQ-UAS-STANDOFF</x:v>
      </x:c>
      <x:c r="B27" s="2" t="str">
        <x:v>Northline Precision (fictional)</x:v>
      </x:c>
      <x:c r="C27" s="2" t="str">
        <x:v>SUP-DEMO-001</x:v>
      </x:c>
      <x:c r="D27" s="9"/>
      <x:c r="E27" s="9"/>
      <x:c r="F27" s="9"/>
      <x:c r="G27" s="2"/>
      <x:c r="H27" s="2"/>
      <x:c r="I27" s="2"/>
      <x:c r="J27" s="2"/>
      <x:c r="K27" s="2"/>
      <x:c r="L27" s="2"/>
    </x:row>
    <x:row r="28" ht="24" customHeight="1">
      <x:c r="A28" s="2" t="str">
        <x:v>REQ-UAS-STANDOFF</x:v>
      </x:c>
      <x:c r="B28" s="2" t="str">
        <x:v>Red River Toolworks (fictional)</x:v>
      </x:c>
      <x:c r="C28" s="2" t="str">
        <x:v>SUP-DEMO-002</x:v>
      </x:c>
      <x:c r="D28" s="9"/>
      <x:c r="E28" s="9"/>
      <x:c r="F28" s="9"/>
      <x:c r="G28" s="2"/>
      <x:c r="H28" s="2"/>
      <x:c r="I28" s="2"/>
      <x:c r="J28" s="2"/>
      <x:c r="K28" s="2"/>
      <x:c r="L28" s="2"/>
    </x:row>
    <x:row r="29" ht="24" customHeight="1">
      <x:c r="A29" s="2" t="str">
        <x:v>REQ-UAS-STANDOFF</x:v>
      </x:c>
      <x:c r="B29" s="2" t="str">
        <x:v>Texoma Polymer Works (fictional)</x:v>
      </x:c>
      <x:c r="C29" s="2" t="str">
        <x:v>SUP-DEMO-003</x:v>
      </x:c>
      <x:c r="D29" s="9"/>
      <x:c r="E29" s="9"/>
      <x:c r="F29" s="9"/>
      <x:c r="G29" s="2"/>
      <x:c r="H29" s="2"/>
      <x:c r="I29" s="2"/>
      <x:c r="J29" s="2"/>
      <x:c r="K29" s="2"/>
      <x:c r="L29" s="2"/>
    </x:row>
    <x:row r="30" ht="24" customHeight="1">
      <x:c r="A30" s="2" t="str">
        <x:v>REQ-UAS-STANDOFF</x:v>
      </x:c>
      <x:c r="B30" s="2" t="str">
        <x:v>Prairie Airframe Components (fictional)</x:v>
      </x:c>
      <x:c r="C30" s="2" t="str">
        <x:v>SUP-DEMO-004</x:v>
      </x:c>
      <x:c r="D30" s="9"/>
      <x:c r="E30" s="9"/>
      <x:c r="F30" s="9"/>
      <x:c r="G30" s="2"/>
      <x:c r="H30" s="2"/>
      <x:c r="I30" s="2"/>
      <x:c r="J30" s="2"/>
      <x:c r="K30" s="2"/>
      <x:c r="L30" s="2"/>
    </x:row>
    <x:row r="31" ht="24" customHeight="1">
      <x:c r="A31" s="2" t="str">
        <x:v>REQ-UAS-TRAY</x:v>
      </x:c>
      <x:c r="B31" s="2" t="str">
        <x:v>Northline Precision (fictional)</x:v>
      </x:c>
      <x:c r="C31" s="2" t="str">
        <x:v>SUP-DEMO-001</x:v>
      </x:c>
      <x:c r="D31" s="9"/>
      <x:c r="E31" s="9"/>
      <x:c r="F31" s="9"/>
      <x:c r="G31" s="2"/>
      <x:c r="H31" s="2"/>
      <x:c r="I31" s="2"/>
      <x:c r="J31" s="2"/>
      <x:c r="K31" s="2"/>
      <x:c r="L31" s="2"/>
    </x:row>
    <x:row r="32" ht="24" customHeight="1">
      <x:c r="A32" s="2" t="str">
        <x:v>REQ-UAS-TRAY</x:v>
      </x:c>
      <x:c r="B32" s="2" t="str">
        <x:v>Red River Toolworks (fictional)</x:v>
      </x:c>
      <x:c r="C32" s="2" t="str">
        <x:v>SUP-DEMO-002</x:v>
      </x:c>
      <x:c r="D32" s="9"/>
      <x:c r="E32" s="9"/>
      <x:c r="F32" s="9"/>
      <x:c r="G32" s="2"/>
      <x:c r="H32" s="2"/>
      <x:c r="I32" s="2"/>
      <x:c r="J32" s="2"/>
      <x:c r="K32" s="2"/>
      <x:c r="L32" s="2"/>
    </x:row>
    <x:row r="33" ht="24" customHeight="1">
      <x:c r="A33" s="2" t="str">
        <x:v>REQ-UAS-TRAY</x:v>
      </x:c>
      <x:c r="B33" s="2" t="str">
        <x:v>Texoma Polymer Works (fictional)</x:v>
      </x:c>
      <x:c r="C33" s="2" t="str">
        <x:v>SUP-DEMO-003</x:v>
      </x:c>
      <x:c r="D33" s="9"/>
      <x:c r="E33" s="9"/>
      <x:c r="F33" s="9"/>
      <x:c r="G33" s="2"/>
      <x:c r="H33" s="2"/>
      <x:c r="I33" s="2"/>
      <x:c r="J33" s="2"/>
      <x:c r="K33" s="2"/>
      <x:c r="L33" s="2"/>
    </x:row>
    <x:row r="34" ht="24" customHeight="1">
      <x:c r="A34" s="2" t="str">
        <x:v>REQ-UAS-TRAY</x:v>
      </x:c>
      <x:c r="B34" s="2" t="str">
        <x:v>Prairie Airframe Components (fictional)</x:v>
      </x:c>
      <x:c r="C34" s="2" t="str">
        <x:v>SUP-DEMO-004</x:v>
      </x:c>
      <x:c r="D34" s="9"/>
      <x:c r="E34" s="9"/>
      <x:c r="F34" s="9"/>
      <x:c r="G34" s="2"/>
      <x:c r="H34" s="2"/>
      <x:c r="I34" s="2"/>
      <x:c r="J34" s="2"/>
      <x:c r="K34" s="2"/>
      <x:c r="L34" s="2"/>
    </x:row>
    <x:row r="35" ht="24" customHeight="1">
      <x:c r="A35" s="2" t="str">
        <x:v>REQ-UAS-CLEVIS</x:v>
      </x:c>
      <x:c r="B35" s="2" t="str">
        <x:v>Northline Precision (fictional)</x:v>
      </x:c>
      <x:c r="C35" s="2" t="str">
        <x:v>SUP-DEMO-001</x:v>
      </x:c>
      <x:c r="D35" s="9"/>
      <x:c r="E35" s="9"/>
      <x:c r="F35" s="9"/>
      <x:c r="G35" s="2"/>
      <x:c r="H35" s="2"/>
      <x:c r="I35" s="2"/>
      <x:c r="J35" s="2"/>
      <x:c r="K35" s="2"/>
      <x:c r="L35" s="2"/>
    </x:row>
    <x:row r="36" ht="24" customHeight="1">
      <x:c r="A36" s="2" t="str">
        <x:v>REQ-UAS-CLEVIS</x:v>
      </x:c>
      <x:c r="B36" s="2" t="str">
        <x:v>Red River Toolworks (fictional)</x:v>
      </x:c>
      <x:c r="C36" s="2" t="str">
        <x:v>SUP-DEMO-002</x:v>
      </x:c>
      <x:c r="D36" s="9"/>
      <x:c r="E36" s="9"/>
      <x:c r="F36" s="9"/>
      <x:c r="G36" s="2"/>
      <x:c r="H36" s="2"/>
      <x:c r="I36" s="2"/>
      <x:c r="J36" s="2"/>
      <x:c r="K36" s="2"/>
      <x:c r="L36" s="2"/>
    </x:row>
    <x:row r="37" ht="24" customHeight="1">
      <x:c r="A37" s="2" t="str">
        <x:v>REQ-UAS-CLEVIS</x:v>
      </x:c>
      <x:c r="B37" s="2" t="str">
        <x:v>Texoma Polymer Works (fictional)</x:v>
      </x:c>
      <x:c r="C37" s="2" t="str">
        <x:v>SUP-DEMO-003</x:v>
      </x:c>
      <x:c r="D37" s="9"/>
      <x:c r="E37" s="9"/>
      <x:c r="F37" s="9"/>
      <x:c r="G37" s="2"/>
      <x:c r="H37" s="2"/>
      <x:c r="I37" s="2"/>
      <x:c r="J37" s="2"/>
      <x:c r="K37" s="2"/>
      <x:c r="L37" s="2"/>
    </x:row>
    <x:row r="38" ht="24" customHeight="1">
      <x:c r="A38" s="2" t="str">
        <x:v>REQ-UAS-CLEVIS</x:v>
      </x:c>
      <x:c r="B38" s="2" t="str">
        <x:v>Prairie Airframe Components (fictional)</x:v>
      </x:c>
      <x:c r="C38" s="2" t="str">
        <x:v>SUP-DEMO-004</x:v>
      </x:c>
      <x:c r="D38" s="9"/>
      <x:c r="E38" s="9"/>
      <x:c r="F38" s="9"/>
      <x:c r="G38" s="2"/>
      <x:c r="H38" s="2"/>
      <x:c r="I38" s="2"/>
      <x:c r="J38" s="2"/>
      <x:c r="K38" s="2"/>
      <x:c r="L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3" t="str">
        <x:v>Camera mounting bracket review packet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38" customHeight="1">
      <x:c r="A43" s="8" t="str">
        <x:v>Packet field</x:v>
      </x:c>
      <x:c r="B43" s="8" t="str">
        <x:v>Your entry</x:v>
      </x:c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4" customHeight="1">
      <x:c r="A44" s="2" t="str">
        <x:v>Request ID</x:v>
      </x:c>
      <x:c r="B44" s="9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4" customHeight="1">
      <x:c r="A45" s="2" t="str">
        <x:v>Part / customer</x:v>
      </x:c>
      <x:c r="B45" s="9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4" customHeight="1">
      <x:c r="A46" s="2" t="str">
        <x:v>Drawing revision / quantity</x:v>
      </x:c>
      <x:c r="B46" s="9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4" customHeight="1">
      <x:c r="A47" s="2" t="str">
        <x:v>Selected supplier ID and name</x:v>
      </x:c>
      <x:c r="B47" s="9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4" customHeight="1">
      <x:c r="A48" s="2" t="str">
        <x:v>Process / material / tolerance</x:v>
      </x:c>
      <x:c r="B48" s="9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4" customHeight="1">
      <x:c r="A49" s="2" t="str">
        <x:v>Qualification evidence and validity</x:v>
      </x:c>
      <x:c r="B49" s="9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4" customHeight="1">
      <x:c r="A50" s="2" t="str">
        <x:v>US manufacturing evidence</x:v>
      </x:c>
      <x:c r="B50" s="9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4" customHeight="1">
      <x:c r="A51" s="2" t="str">
        <x:v>Source references</x:v>
      </x:c>
      <x:c r="B51" s="9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4" customHeight="1">
      <x:c r="A52" s="2" t="str">
        <x:v>Decision (advance / hold)</x:v>
      </x:c>
      <x:c r="B52" s="9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4" customHeight="1">
      <x:c r="A53" s="2" t="str">
        <x:v>Decision rationale / open issues</x:v>
      </x:c>
      <x:c r="B53" s="9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4" customHeight="1">
      <x:c r="A54" s="2" t="str">
        <x:v>Named reviewer</x:v>
      </x:c>
      <x:c r="B54" s="9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4" customHeight="1">
      <x:c r="A55" s="2" t="str">
        <x:v>Review date-time (UTC)</x:v>
      </x:c>
      <x:c r="B55" s="10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4" customHeight="1">
      <x:c r="A56" s="2" t="str">
        <x:v>Packet status</x:v>
      </x:c>
      <x:c r="B56" s="9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4" customHeight="1">
      <x:c r="A57" s="2" t="str">
        <x:v>RFQ draft scope / notes</x:v>
      </x:c>
      <x:c r="B57" s="9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4" customHeight="1">
      <x:c r="A60" s="2" t="str">
        <x:v>Name the reviewer and record the review decision before marking a packet approved for RFQ drafting.</x:v>
      </x:c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4" customHeight="1">
      <x:c r="A61" s="2" t="str">
        <x:v>The packet is a review exercise. Do not send an RFQ or contact any supplier.</x:v>
      </x:c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</x:sheetData>
  <x:dataValidations count="1">
    <x:dataValidation type="list" sqref="D23:D38">
      <x:formula1>"Ready,Not ready"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1387f5d30eb943e3"/>
    <x:tablePart xmlns:r="http://schemas.openxmlformats.org/officeDocument/2006/relationships" r:id="Re8b1a141acfc4467"/>
    <x:tablePart xmlns:r="http://schemas.openxmlformats.org/officeDocument/2006/relationships" r:id="R0dfa215a541b479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57" hidden="0" customWidth="1"/>
    <x:col min="3" max="3" width="26" hidden="0" customWidth="1"/>
    <x:col min="4" max="4" width="29" hidden="0" customWidth="1"/>
    <x:col min="5" max="5" width="25" hidden="0" customWidth="1"/>
    <x:col min="6" max="6" width="25" hidden="0" customWidth="1"/>
    <x:col min="7" max="7" width="29" hidden="0" customWidth="1"/>
    <x:col min="8" max="8" width="36" hidden="0" customWidth="1"/>
    <x:col min="9" max="9" width="29" hidden="0" customWidth="1"/>
    <x:col min="10" max="10" width="30" hidden="0" customWidth="1"/>
    <x:col min="11" max="11" width="23" hidden="0" customWidth="1"/>
    <x:col min="12" max="12" width="2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Supplied facts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Source: validation/fixtures.json, schemaVersion 1. Synthetic fixed fixtures; no real business data or external retrieval.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 t="str">
        <x:v>Fixed as-of date</x:v>
      </x:c>
      <x:c r="B4" s="12" t="d">
        <x:v>2026-10-21T00:00:00.000Z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8" customHeight="1">
      <x:c r="A6" s="8" t="str">
        <x:v>Request ID</x:v>
      </x:c>
      <x:c r="B6" s="8" t="str">
        <x:v>Part</x:v>
      </x:c>
      <x:c r="C6" s="8" t="str">
        <x:v>Process</x:v>
      </x:c>
      <x:c r="D6" s="8" t="str">
        <x:v>Material</x:v>
      </x:c>
      <x:c r="E6" s="8" t="str">
        <x:v>Max tolerance (inches)</x:v>
      </x:c>
      <x:c r="F6" s="8" t="str">
        <x:v>Quantity</x:v>
      </x:c>
      <x:c r="G6" s="8" t="str">
        <x:v>Qualification</x:v>
      </x:c>
      <x:c r="H6" s="8" t="str">
        <x:v>US manufacturing required</x:v>
      </x:c>
      <x:c r="I6" s="8" t="str">
        <x:v>Customer</x:v>
      </x:c>
      <x:c r="J6" s="8" t="str">
        <x:v>Drawing revision</x:v>
      </x:c>
      <x:c r="K6" s="8" t="str">
        <x:v>Request revision</x:v>
      </x:c>
      <x:c r="L6" s="8" t="str">
        <x:v>Due date</x:v>
      </x:c>
    </x:row>
    <x:row r="7" ht="24" customHeight="1">
      <x:c r="A7" s="2" t="str">
        <x:v>REQ-UAS-BRACKET</x:v>
      </x:c>
      <x:c r="B7" s="2" t="str">
        <x:v>Camera mounting bracket</x:v>
      </x:c>
      <x:c r="C7" s="2" t="str">
        <x:v>CNC milling</x:v>
      </x:c>
      <x:c r="D7" s="2" t="str">
        <x:v>Aluminum 6061</x:v>
      </x:c>
      <x:c r="E7" s="14" t="n">
        <x:v>0.001</x:v>
      </x:c>
      <x:c r="F7" s="15" t="n">
        <x:v>100</x:v>
      </x:c>
      <x:c r="G7" s="2" t="str">
        <x:v>ISO 9001:2015</x:v>
      </x:c>
      <x:c r="H7" s="13" t="b">
        <x:v>1</x:v>
      </x:c>
      <x:c r="I7" s="2" t="str">
        <x:v>Prairie Survey Robotics (fictional)</x:v>
      </x:c>
      <x:c r="J7" s="2" t="str">
        <x:v>DEMO-A</x:v>
      </x:c>
      <x:c r="K7" s="2" t="n">
        <x:v>1</x:v>
      </x:c>
      <x:c r="L7" s="12" t="d">
        <x:v>2026-11-20T00:00:00.000Z</x:v>
      </x:c>
    </x:row>
    <x:row r="8" ht="24" customHeight="1">
      <x:c r="A8" s="2" t="str">
        <x:v>REQ-UAS-STANDOFF</x:v>
      </x:c>
      <x:c r="B8" s="2" t="str">
        <x:v>Electronics stack standoffs</x:v>
      </x:c>
      <x:c r="C8" s="2" t="str">
        <x:v>CNC turning</x:v>
      </x:c>
      <x:c r="D8" s="2" t="str">
        <x:v>Aluminum 6061</x:v>
      </x:c>
      <x:c r="E8" s="14" t="n">
        <x:v>0.001</x:v>
      </x:c>
      <x:c r="F8" s="15" t="n">
        <x:v>1600</x:v>
      </x:c>
      <x:c r="G8" s="2" t="str">
        <x:v>ISO 9001:2015</x:v>
      </x:c>
      <x:c r="H8" s="13" t="b">
        <x:v>1</x:v>
      </x:c>
      <x:c r="I8" s="2" t="str">
        <x:v>Prairie Survey Robotics (fictional)</x:v>
      </x:c>
      <x:c r="J8" s="2" t="str">
        <x:v>DEMO-A</x:v>
      </x:c>
      <x:c r="K8" s="2" t="n">
        <x:v>1</x:v>
      </x:c>
      <x:c r="L8" s="12" t="d">
        <x:v>2026-11-20T00:00:00.000Z</x:v>
      </x:c>
    </x:row>
    <x:row r="9" ht="24" customHeight="1">
      <x:c r="A9" s="2" t="str">
        <x:v>REQ-UAS-TRAY</x:v>
      </x:c>
      <x:c r="B9" s="2" t="str">
        <x:v>Electronics isolation tray</x:v>
      </x:c>
      <x:c r="C9" s="2" t="str">
        <x:v>CNC milling</x:v>
      </x:c>
      <x:c r="D9" s="2" t="str">
        <x:v>Acetal</x:v>
      </x:c>
      <x:c r="E9" s="14" t="n">
        <x:v>0.003</x:v>
      </x:c>
      <x:c r="F9" s="15" t="n">
        <x:v>80</x:v>
      </x:c>
      <x:c r="G9" s="2" t="str">
        <x:v>ISO 9001:2015</x:v>
      </x:c>
      <x:c r="H9" s="13" t="b">
        <x:v>1</x:v>
      </x:c>
      <x:c r="I9" s="2" t="str">
        <x:v>Prairie Survey Robotics (fictional)</x:v>
      </x:c>
      <x:c r="J9" s="2" t="str">
        <x:v>DEMO-A</x:v>
      </x:c>
      <x:c r="K9" s="2" t="n">
        <x:v>1</x:v>
      </x:c>
      <x:c r="L9" s="12" t="d">
        <x:v>2026-11-20T00:00:00.000Z</x:v>
      </x:c>
    </x:row>
    <x:row r="10" ht="24" customHeight="1">
      <x:c r="A10" s="2" t="str">
        <x:v>REQ-UAS-CLEVIS</x:v>
      </x:c>
      <x:c r="B10" s="2" t="str">
        <x:v>Landing-gear clevis</x:v>
      </x:c>
      <x:c r="C10" s="2" t="str">
        <x:v>5-axis milling</x:v>
      </x:c>
      <x:c r="D10" s="2" t="str">
        <x:v>Aluminum 7075</x:v>
      </x:c>
      <x:c r="E10" s="14" t="n">
        <x:v>0.001</x:v>
      </x:c>
      <x:c r="F10" s="15" t="n">
        <x:v>200</x:v>
      </x:c>
      <x:c r="G10" s="2" t="str">
        <x:v>AS9100D</x:v>
      </x:c>
      <x:c r="H10" s="13" t="b">
        <x:v>1</x:v>
      </x:c>
      <x:c r="I10" s="2" t="str">
        <x:v>Prairie Survey Robotics (fictional)</x:v>
      </x:c>
      <x:c r="J10" s="2" t="str">
        <x:v>DEMO-A</x:v>
      </x:c>
      <x:c r="K10" s="2" t="n">
        <x:v>1</x:v>
      </x:c>
      <x:c r="L10" s="12" t="d">
        <x:v>2026-11-20T00:00:00.000Z</x:v>
      </x:c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38" customHeight="1">
      <x:c r="A14" s="8" t="str">
        <x:v>Supplier ID</x:v>
      </x:c>
      <x:c r="B14" s="8" t="str">
        <x:v>Name</x:v>
      </x:c>
      <x:c r="C14" s="8" t="str">
        <x:v>City</x:v>
      </x:c>
      <x:c r="D14" s="8" t="str">
        <x:v>Region</x:v>
      </x:c>
      <x:c r="E14" s="8" t="str">
        <x:v>Country</x:v>
      </x:c>
      <x:c r="F14" s="8" t="str">
        <x:v>Processes</x:v>
      </x:c>
      <x:c r="G14" s="8" t="str">
        <x:v>Materials</x:v>
      </x:c>
      <x:c r="H14" s="8" t="str">
        <x:v>Max tolerance (inches)</x:v>
      </x:c>
      <x:c r="I14" s="8" t="str">
        <x:v>Maximum lot size</x:v>
      </x:c>
      <x:c r="J14" s="2"/>
      <x:c r="K14" s="2"/>
      <x:c r="L14" s="2"/>
    </x:row>
    <x:row r="15" ht="42" customHeight="1">
      <x:c r="A15" s="2" t="str">
        <x:v>SUP-DEMO-001</x:v>
      </x:c>
      <x:c r="B15" s="2" t="str">
        <x:v>Northline Precision (fictional)</x:v>
      </x:c>
      <x:c r="C15" s="2" t="str">
        <x:v>Gainesville</x:v>
      </x:c>
      <x:c r="D15" s="2" t="str">
        <x:v>Texas</x:v>
      </x:c>
      <x:c r="E15" s="2" t="str">
        <x:v>US</x:v>
      </x:c>
      <x:c r="F15" s="16" t="str">
        <x:v>CNC milling, CNC turning</x:v>
      </x:c>
      <x:c r="G15" s="16" t="str">
        <x:v>Aluminum 6061</x:v>
      </x:c>
      <x:c r="H15" s="14" t="n">
        <x:v>0.0008</x:v>
      </x:c>
      <x:c r="I15" s="15" t="n">
        <x:v>1200</x:v>
      </x:c>
      <x:c r="J15" s="2"/>
      <x:c r="K15" s="2"/>
      <x:c r="L15" s="2"/>
    </x:row>
    <x:row r="16" ht="42" customHeight="1">
      <x:c r="A16" s="2" t="str">
        <x:v>SUP-DEMO-002</x:v>
      </x:c>
      <x:c r="B16" s="2" t="str">
        <x:v>Red River Toolworks (fictional)</x:v>
      </x:c>
      <x:c r="C16" s="2" t="str">
        <x:v>Muenster</x:v>
      </x:c>
      <x:c r="D16" s="2" t="str">
        <x:v>Texas</x:v>
      </x:c>
      <x:c r="E16" s="2" t="str">
        <x:v>US</x:v>
      </x:c>
      <x:c r="F16" s="16" t="str">
        <x:v>CNC turning, 5-axis milling</x:v>
      </x:c>
      <x:c r="G16" s="16" t="str">
        <x:v>Aluminum 6061, Aluminum 7075</x:v>
      </x:c>
      <x:c r="H16" s="14" t="n">
        <x:v>0.0005</x:v>
      </x:c>
      <x:c r="I16" s="15" t="n">
        <x:v>2000</x:v>
      </x:c>
      <x:c r="J16" s="2"/>
      <x:c r="K16" s="2"/>
      <x:c r="L16" s="2"/>
    </x:row>
    <x:row r="17" ht="42" customHeight="1">
      <x:c r="A17" s="2" t="str">
        <x:v>SUP-DEMO-003</x:v>
      </x:c>
      <x:c r="B17" s="2" t="str">
        <x:v>Texoma Polymer Works (fictional)</x:v>
      </x:c>
      <x:c r="C17" s="2" t="str">
        <x:v>Sherman</x:v>
      </x:c>
      <x:c r="D17" s="2" t="str">
        <x:v>Texas</x:v>
      </x:c>
      <x:c r="E17" s="2" t="str">
        <x:v>US</x:v>
      </x:c>
      <x:c r="F17" s="16" t="str">
        <x:v>CNC milling</x:v>
      </x:c>
      <x:c r="G17" s="16" t="str">
        <x:v>Acetal</x:v>
      </x:c>
      <x:c r="H17" s="14" t="n">
        <x:v>0.002</x:v>
      </x:c>
      <x:c r="I17" s="15" t="n">
        <x:v>500</x:v>
      </x:c>
      <x:c r="J17" s="2"/>
      <x:c r="K17" s="2"/>
      <x:c r="L17" s="2"/>
    </x:row>
    <x:row r="18" ht="42" customHeight="1">
      <x:c r="A18" s="2" t="str">
        <x:v>SUP-DEMO-004</x:v>
      </x:c>
      <x:c r="B18" s="2" t="str">
        <x:v>Prairie Airframe Components (fictional)</x:v>
      </x:c>
      <x:c r="C18" s="2" t="str">
        <x:v>Denton</x:v>
      </x:c>
      <x:c r="D18" s="2" t="str">
        <x:v>Texas</x:v>
      </x:c>
      <x:c r="E18" s="2" t="str">
        <x:v>US</x:v>
      </x:c>
      <x:c r="F18" s="16" t="str">
        <x:v>5-axis milling</x:v>
      </x:c>
      <x:c r="G18" s="16" t="str">
        <x:v>Aluminum 7075</x:v>
      </x:c>
      <x:c r="H18" s="14" t="n">
        <x:v>0.0008</x:v>
      </x:c>
      <x:c r="I18" s="15" t="n">
        <x:v>400</x:v>
      </x:c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38" customHeight="1">
      <x:c r="A22" s="8" t="str">
        <x:v>Supplier ID</x:v>
      </x:c>
      <x:c r="B22" s="8" t="str">
        <x:v>Qualification</x:v>
      </x:c>
      <x:c r="C22" s="8" t="str">
        <x:v>Status</x:v>
      </x:c>
      <x:c r="D22" s="8" t="str">
        <x:v>Valid from</x:v>
      </x:c>
      <x:c r="E22" s="8" t="str">
        <x:v>Valid until</x:v>
      </x:c>
      <x:c r="F22" s="8" t="str">
        <x:v>Scope confirmed</x:v>
      </x:c>
      <x:c r="G22" s="8" t="str">
        <x:v>Verified by</x:v>
      </x:c>
      <x:c r="H22" s="8" t="str">
        <x:v>Certificate source reference</x:v>
      </x:c>
      <x:c r="I22" s="8" t="str">
        <x:v>Certificate site ID</x:v>
      </x:c>
      <x:c r="J22" s="8" t="str">
        <x:v>Reviewed at UTC</x:v>
      </x:c>
      <x:c r="K22" s="8" t="str">
        <x:v>Observed</x:v>
      </x:c>
      <x:c r="L22" s="2"/>
    </x:row>
    <x:row r="23" ht="24" customHeight="1">
      <x:c r="A23" s="2" t="str">
        <x:v>SUP-DEMO-001</x:v>
      </x:c>
      <x:c r="B23" s="2" t="str">
        <x:v>ISO 9001:2015</x:v>
      </x:c>
      <x:c r="C23" s="2" t="str">
        <x:v>verified</x:v>
      </x:c>
      <x:c r="D23" s="12" t="d">
        <x:v>2026-01-01T00:00:00.000Z</x:v>
      </x:c>
      <x:c r="E23" s="12" t="d">
        <x:v>2027-10-01T00:00:00.000Z</x:v>
      </x:c>
      <x:c r="F23" s="13" t="b">
        <x:v>1</x:v>
      </x:c>
      <x:c r="G23" s="2" t="str">
        <x:v>Demo quality reviewer</x:v>
      </x:c>
      <x:c r="H23" s="2" t="str">
        <x:v>DEMO-CERT-SUP-DEMO-001-1</x:v>
      </x:c>
      <x:c r="I23" s="2" t="str">
        <x:v>SITE-SUP-DEMO-001</x:v>
      </x:c>
      <x:c r="J23" s="17" t="d">
        <x:v>2026-10-18T12:00:00.000Z</x:v>
      </x:c>
      <x:c r="K23" s="12" t="d">
        <x:v>2026-10-18T00:00:00.000Z</x:v>
      </x:c>
      <x:c r="L23" s="2"/>
    </x:row>
    <x:row r="24" ht="24" customHeight="1">
      <x:c r="A24" s="2" t="str">
        <x:v>SUP-DEMO-001</x:v>
      </x:c>
      <x:c r="B24" s="2" t="str">
        <x:v>AS9100D</x:v>
      </x:c>
      <x:c r="C24" s="2" t="str">
        <x:v>not supplied</x:v>
      </x:c>
      <x:c r="D24" s="12" t="str">
        <x:v>not supplied</x:v>
      </x:c>
      <x:c r="E24" s="12" t="str">
        <x:v>not supplied</x:v>
      </x:c>
      <x:c r="F24" s="13" t="b">
        <x:v>0</x:v>
      </x:c>
      <x:c r="G24" s="2" t="str">
        <x:v>not supplied</x:v>
      </x:c>
      <x:c r="H24" s="2" t="str">
        <x:v>not supplied</x:v>
      </x:c>
      <x:c r="I24" s="2" t="str">
        <x:v>not supplied</x:v>
      </x:c>
      <x:c r="J24" s="17" t="str">
        <x:v>not supplied</x:v>
      </x:c>
      <x:c r="K24" s="12" t="str">
        <x:v>not supplied</x:v>
      </x:c>
      <x:c r="L24" s="2"/>
    </x:row>
    <x:row r="25" ht="24" customHeight="1">
      <x:c r="A25" s="2" t="str">
        <x:v>SUP-DEMO-002</x:v>
      </x:c>
      <x:c r="B25" s="2" t="str">
        <x:v>ISO 9001:2015</x:v>
      </x:c>
      <x:c r="C25" s="2" t="str">
        <x:v>verified</x:v>
      </x:c>
      <x:c r="D25" s="12" t="d">
        <x:v>2026-01-01T00:00:00.000Z</x:v>
      </x:c>
      <x:c r="E25" s="12" t="d">
        <x:v>2027-10-01T00:00:00.000Z</x:v>
      </x:c>
      <x:c r="F25" s="13" t="b">
        <x:v>1</x:v>
      </x:c>
      <x:c r="G25" s="2" t="str">
        <x:v>Demo quality reviewer</x:v>
      </x:c>
      <x:c r="H25" s="2" t="str">
        <x:v>DEMO-CERT-SUP-DEMO-002-1</x:v>
      </x:c>
      <x:c r="I25" s="2" t="str">
        <x:v>SITE-SUP-DEMO-002</x:v>
      </x:c>
      <x:c r="J25" s="17" t="d">
        <x:v>2026-10-18T12:00:00.000Z</x:v>
      </x:c>
      <x:c r="K25" s="12" t="d">
        <x:v>2026-10-18T00:00:00.000Z</x:v>
      </x:c>
      <x:c r="L25" s="2"/>
    </x:row>
    <x:row r="26" ht="24" customHeight="1">
      <x:c r="A26" s="2" t="str">
        <x:v>SUP-DEMO-002</x:v>
      </x:c>
      <x:c r="B26" s="2" t="str">
        <x:v>AS9100D</x:v>
      </x:c>
      <x:c r="C26" s="2" t="str">
        <x:v>expired</x:v>
      </x:c>
      <x:c r="D26" s="12" t="d">
        <x:v>2026-01-01T00:00:00.000Z</x:v>
      </x:c>
      <x:c r="E26" s="12" t="d">
        <x:v>2026-10-01T00:00:00.000Z</x:v>
      </x:c>
      <x:c r="F26" s="13" t="b">
        <x:v>0</x:v>
      </x:c>
      <x:c r="G26" s="2" t="str">
        <x:v>not supplied</x:v>
      </x:c>
      <x:c r="H26" s="2" t="str">
        <x:v>DEMO-CERT-SUP-DEMO-002-2</x:v>
      </x:c>
      <x:c r="I26" s="2" t="str">
        <x:v>SITE-SUP-DEMO-002</x:v>
      </x:c>
      <x:c r="J26" s="17" t="d">
        <x:v>2026-10-18T12:00:00.000Z</x:v>
      </x:c>
      <x:c r="K26" s="12" t="d">
        <x:v>2026-10-18T00:00:00.000Z</x:v>
      </x:c>
      <x:c r="L26" s="2"/>
    </x:row>
    <x:row r="27" ht="24" customHeight="1">
      <x:c r="A27" s="2" t="str">
        <x:v>SUP-DEMO-003</x:v>
      </x:c>
      <x:c r="B27" s="2" t="str">
        <x:v>ISO 9001:2015</x:v>
      </x:c>
      <x:c r="C27" s="2" t="str">
        <x:v>verified</x:v>
      </x:c>
      <x:c r="D27" s="12" t="d">
        <x:v>2026-01-01T00:00:00.000Z</x:v>
      </x:c>
      <x:c r="E27" s="12" t="d">
        <x:v>2027-10-01T00:00:00.000Z</x:v>
      </x:c>
      <x:c r="F27" s="13" t="b">
        <x:v>1</x:v>
      </x:c>
      <x:c r="G27" s="2" t="str">
        <x:v>Demo quality reviewer</x:v>
      </x:c>
      <x:c r="H27" s="2" t="str">
        <x:v>DEMO-CERT-SUP-DEMO-003-1</x:v>
      </x:c>
      <x:c r="I27" s="2" t="str">
        <x:v>SITE-SUP-DEMO-003</x:v>
      </x:c>
      <x:c r="J27" s="17" t="d">
        <x:v>2026-10-18T12:00:00.000Z</x:v>
      </x:c>
      <x:c r="K27" s="12" t="d">
        <x:v>2026-10-18T00:00:00.000Z</x:v>
      </x:c>
      <x:c r="L27" s="2"/>
    </x:row>
    <x:row r="28" ht="24" customHeight="1">
      <x:c r="A28" s="2" t="str">
        <x:v>SUP-DEMO-003</x:v>
      </x:c>
      <x:c r="B28" s="2" t="str">
        <x:v>AS9100D</x:v>
      </x:c>
      <x:c r="C28" s="2" t="str">
        <x:v>not supplied</x:v>
      </x:c>
      <x:c r="D28" s="12" t="str">
        <x:v>not supplied</x:v>
      </x:c>
      <x:c r="E28" s="12" t="str">
        <x:v>not supplied</x:v>
      </x:c>
      <x:c r="F28" s="13" t="b">
        <x:v>0</x:v>
      </x:c>
      <x:c r="G28" s="2" t="str">
        <x:v>not supplied</x:v>
      </x:c>
      <x:c r="H28" s="2" t="str">
        <x:v>not supplied</x:v>
      </x:c>
      <x:c r="I28" s="2" t="str">
        <x:v>not supplied</x:v>
      </x:c>
      <x:c r="J28" s="17" t="str">
        <x:v>not supplied</x:v>
      </x:c>
      <x:c r="K28" s="12" t="str">
        <x:v>not supplied</x:v>
      </x:c>
      <x:c r="L28" s="2"/>
    </x:row>
    <x:row r="29" ht="24" customHeight="1">
      <x:c r="A29" s="2" t="str">
        <x:v>SUP-DEMO-004</x:v>
      </x:c>
      <x:c r="B29" s="2" t="str">
        <x:v>ISO 9001:2015</x:v>
      </x:c>
      <x:c r="C29" s="2" t="str">
        <x:v>not supplied</x:v>
      </x:c>
      <x:c r="D29" s="12" t="str">
        <x:v>not supplied</x:v>
      </x:c>
      <x:c r="E29" s="12" t="str">
        <x:v>not supplied</x:v>
      </x:c>
      <x:c r="F29" s="13" t="b">
        <x:v>0</x:v>
      </x:c>
      <x:c r="G29" s="2" t="str">
        <x:v>not supplied</x:v>
      </x:c>
      <x:c r="H29" s="2" t="str">
        <x:v>not supplied</x:v>
      </x:c>
      <x:c r="I29" s="2" t="str">
        <x:v>not supplied</x:v>
      </x:c>
      <x:c r="J29" s="17" t="str">
        <x:v>not supplied</x:v>
      </x:c>
      <x:c r="K29" s="12" t="str">
        <x:v>not supplied</x:v>
      </x:c>
      <x:c r="L29" s="2"/>
    </x:row>
    <x:row r="30" ht="24" customHeight="1">
      <x:c r="A30" s="2" t="str">
        <x:v>SUP-DEMO-004</x:v>
      </x:c>
      <x:c r="B30" s="2" t="str">
        <x:v>AS9100D</x:v>
      </x:c>
      <x:c r="C30" s="2" t="str">
        <x:v>review</x:v>
      </x:c>
      <x:c r="D30" s="12" t="d">
        <x:v>2026-01-01T00:00:00.000Z</x:v>
      </x:c>
      <x:c r="E30" s="12" t="d">
        <x:v>2027-10-01T00:00:00.000Z</x:v>
      </x:c>
      <x:c r="F30" s="13" t="b">
        <x:v>0</x:v>
      </x:c>
      <x:c r="G30" s="2" t="str">
        <x:v>not supplied</x:v>
      </x:c>
      <x:c r="H30" s="2" t="str">
        <x:v>DEMO-CERT-SUP-DEMO-004-1</x:v>
      </x:c>
      <x:c r="I30" s="2" t="str">
        <x:v>SITE-SUP-DEMO-004</x:v>
      </x:c>
      <x:c r="J30" s="17" t="d">
        <x:v>2026-10-18T12:00:00.000Z</x:v>
      </x:c>
      <x:c r="K30" s="12" t="d">
        <x:v>2026-10-18T00:00:00.000Z</x:v>
      </x:c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38" customHeight="1">
      <x:c r="A34" s="8" t="str">
        <x:v>Supplier ID</x:v>
      </x:c>
      <x:c r="B34" s="8" t="str">
        <x:v>Site source reference</x:v>
      </x:c>
      <x:c r="C34" s="8" t="str">
        <x:v>Site reviewed</x:v>
      </x:c>
      <x:c r="D34" s="8" t="str">
        <x:v>Site reviewer</x:v>
      </x:c>
      <x:c r="E34" s="8" t="str">
        <x:v>Site ID</x:v>
      </x:c>
      <x:c r="F34" s="8" t="str">
        <x:v>Site reviewed UTC</x:v>
      </x:c>
      <x:c r="G34" s="8" t="str">
        <x:v>Capability source ID</x:v>
      </x:c>
      <x:c r="H34" s="8" t="str">
        <x:v>Capability source label</x:v>
      </x:c>
      <x:c r="I34" s="8" t="str">
        <x:v>Capability observed</x:v>
      </x:c>
      <x:c r="J34" s="8" t="str">
        <x:v>Qualification reviewer</x:v>
      </x:c>
      <x:c r="K34" s="2"/>
      <x:c r="L34" s="2"/>
    </x:row>
    <x:row r="35" ht="24" customHeight="1">
      <x:c r="A35" s="2" t="str">
        <x:v>SUP-DEMO-001</x:v>
      </x:c>
      <x:c r="B35" s="2" t="str">
        <x:v>DEMO-SITE-SUP-DEMO-001</x:v>
      </x:c>
      <x:c r="C35" s="13" t="b">
        <x:v>1</x:v>
      </x:c>
      <x:c r="D35" s="2" t="str">
        <x:v>Demo quality reviewer</x:v>
      </x:c>
      <x:c r="E35" s="2" t="str">
        <x:v>SITE-SUP-DEMO-001</x:v>
      </x:c>
      <x:c r="F35" s="17" t="d">
        <x:v>2026-10-18T12:00:00.000Z</x:v>
      </x:c>
      <x:c r="G35" s="2" t="str">
        <x:v>DEMO-CAP-SUP-DEMO-001</x:v>
      </x:c>
      <x:c r="H35" s="2" t="str">
        <x:v>Synthetic supplier capability card</x:v>
      </x:c>
      <x:c r="I35" s="12" t="d">
        <x:v>2026-10-18T00:00:00.000Z</x:v>
      </x:c>
      <x:c r="J35" s="2" t="str">
        <x:v>Demo quality reviewer</x:v>
      </x:c>
      <x:c r="K35" s="2"/>
      <x:c r="L35" s="2"/>
    </x:row>
    <x:row r="36" ht="24" customHeight="1">
      <x:c r="A36" s="2" t="str">
        <x:v>SUP-DEMO-002</x:v>
      </x:c>
      <x:c r="B36" s="2" t="str">
        <x:v>DEMO-SITE-SUP-DEMO-002</x:v>
      </x:c>
      <x:c r="C36" s="13" t="b">
        <x:v>1</x:v>
      </x:c>
      <x:c r="D36" s="2" t="str">
        <x:v>Demo quality reviewer</x:v>
      </x:c>
      <x:c r="E36" s="2" t="str">
        <x:v>SITE-SUP-DEMO-002</x:v>
      </x:c>
      <x:c r="F36" s="17" t="d">
        <x:v>2026-10-18T12:00:00.000Z</x:v>
      </x:c>
      <x:c r="G36" s="2" t="str">
        <x:v>DEMO-CAP-SUP-DEMO-002</x:v>
      </x:c>
      <x:c r="H36" s="2" t="str">
        <x:v>Synthetic supplier capability card</x:v>
      </x:c>
      <x:c r="I36" s="12" t="d">
        <x:v>2026-10-18T00:00:00.000Z</x:v>
      </x:c>
      <x:c r="J36" s="2" t="str">
        <x:v>Demo quality reviewer</x:v>
      </x:c>
      <x:c r="K36" s="2"/>
      <x:c r="L36" s="2"/>
    </x:row>
    <x:row r="37" ht="24" customHeight="1">
      <x:c r="A37" s="2" t="str">
        <x:v>SUP-DEMO-003</x:v>
      </x:c>
      <x:c r="B37" s="2" t="str">
        <x:v>DEMO-SITE-SUP-DEMO-003</x:v>
      </x:c>
      <x:c r="C37" s="13" t="b">
        <x:v>1</x:v>
      </x:c>
      <x:c r="D37" s="2" t="str">
        <x:v>Demo quality reviewer</x:v>
      </x:c>
      <x:c r="E37" s="2" t="str">
        <x:v>SITE-SUP-DEMO-003</x:v>
      </x:c>
      <x:c r="F37" s="17" t="d">
        <x:v>2026-10-18T12:00:00.000Z</x:v>
      </x:c>
      <x:c r="G37" s="2" t="str">
        <x:v>DEMO-CAP-SUP-DEMO-003</x:v>
      </x:c>
      <x:c r="H37" s="2" t="str">
        <x:v>Synthetic supplier capability card</x:v>
      </x:c>
      <x:c r="I37" s="12" t="d">
        <x:v>2026-10-18T00:00:00.000Z</x:v>
      </x:c>
      <x:c r="J37" s="2" t="str">
        <x:v>Demo quality reviewer</x:v>
      </x:c>
      <x:c r="K37" s="2"/>
      <x:c r="L37" s="2"/>
    </x:row>
    <x:row r="38" ht="24" customHeight="1">
      <x:c r="A38" s="2" t="str">
        <x:v>SUP-DEMO-004</x:v>
      </x:c>
      <x:c r="B38" s="2" t="str">
        <x:v>DEMO-SITE-SUP-DEMO-004</x:v>
      </x:c>
      <x:c r="C38" s="13" t="b">
        <x:v>1</x:v>
      </x:c>
      <x:c r="D38" s="2" t="str">
        <x:v>Demo quality reviewer</x:v>
      </x:c>
      <x:c r="E38" s="2" t="str">
        <x:v>SITE-SUP-DEMO-004</x:v>
      </x:c>
      <x:c r="F38" s="17" t="d">
        <x:v>2026-10-18T12:00:00.000Z</x:v>
      </x:c>
      <x:c r="G38" s="2" t="str">
        <x:v>DEMO-CAP-SUP-DEMO-004</x:v>
      </x:c>
      <x:c r="H38" s="2" t="str">
        <x:v>Synthetic supplier capability card</x:v>
      </x:c>
      <x:c r="I38" s="12" t="d">
        <x:v>2026-10-18T00:00:00.000Z</x:v>
      </x:c>
      <x:c r="J38" s="2" t="str">
        <x:v>not supplied</x:v>
      </x:c>
      <x:c r="K38" s="2"/>
      <x:c r="L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3" t="str">
        <x:v>Capability card for intake task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38" customHeight="1">
      <x:c r="A43" s="8" t="str">
        <x:v>Card label</x:v>
      </x:c>
      <x:c r="B43" s="8" t="str">
        <x:v>Supplied text</x:v>
      </x:c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40" customHeight="1">
      <x:c r="A44" s="2" t="str">
        <x:v>Manufacturer</x:v>
      </x:c>
      <x:c r="B44" s="16" t="str">
        <x:v>Lone Oak Micro Manufacturing (fictional)</x:v>
      </x:c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40" customHeight="1">
      <x:c r="A45" s="2" t="str">
        <x:v>Location</x:v>
      </x:c>
      <x:c r="B45" s="16" t="str">
        <x:v>Gainesville, Texas</x:v>
      </x:c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40" customHeight="1">
      <x:c r="A46" s="2" t="str">
        <x:v>Country</x:v>
      </x:c>
      <x:c r="B46" s="16" t="str">
        <x:v>US</x:v>
      </x:c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40" customHeight="1">
      <x:c r="A47" s="2" t="str">
        <x:v>Processes</x:v>
      </x:c>
      <x:c r="B47" s="16" t="str">
        <x:v>5 axis CNC milling, CNC turning</x:v>
      </x:c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40" customHeight="1">
      <x:c r="A48" s="2" t="str">
        <x:v>Materials</x:v>
      </x:c>
      <x:c r="B48" s="16" t="str">
        <x:v>7075 aluminum, 6061 aluminum</x:v>
      </x:c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40" customHeight="1">
      <x:c r="A49" s="2" t="str">
        <x:v>Tolerance</x:v>
      </x:c>
      <x:c r="B49" s="16" t="str">
        <x:v>0.0005</x:v>
      </x:c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40" customHeight="1">
      <x:c r="A50" s="2" t="str">
        <x:v>Capacity</x:v>
      </x:c>
      <x:c r="B50" s="16" t="str">
        <x:v>300</x:v>
      </x:c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40" customHeight="1">
      <x:c r="A51" s="2" t="str">
        <x:v>Source</x:v>
      </x:c>
      <x:c r="B51" s="16" t="str">
        <x:v>DEMO-CAPABILITY-CARD-501</x:v>
      </x:c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40" customHeight="1">
      <x:c r="A52" s="2" t="str">
        <x:v>Description</x:v>
      </x:c>
      <x:c r="B52" s="16" t="str">
        <x:v>Fictional precision machining profile for a commercial drone component demo.</x:v>
      </x:c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4" customHeight="1">
      <x:c r="A55" s="2" t="str">
        <x:v>Card claims are self-reported. No reviewed site or certificate evidence is supplied with this card.</x:v>
      </x:c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4" customHeight="1">
      <x:c r="A57" s="2" t="str">
        <x:v>Interpretation: not supplied preserves a null source field; FALSE preserves an explicit false value.</x:v>
      </x:c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4" customHeight="1">
      <x:c r="A58" s="2" t="str">
        <x:v>Use the exact process names. A claim of 5-axis milling does not by itself establish CNC milling capability.</x:v>
      </x:c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4" customHeight="1">
      <x:c r="A59" s="2" t="str">
        <x:v>Tolerance is the largest stated deviation in inches. Smaller is more precise. Lot capacity is a maximum count.</x:v>
      </x:c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38" customHeight="1">
      <x:c r="A62" s="8" t="str">
        <x:v>Supplier ID</x:v>
      </x:c>
      <x:c r="B62" s="8" t="str">
        <x:v>Qualification</x:v>
      </x:c>
      <x:c r="C62" s="8" t="str">
        <x:v>Source label</x:v>
      </x:c>
      <x:c r="D62" s="8" t="str">
        <x:v>Source note</x:v>
      </x:c>
      <x:c r="E62" s="2"/>
      <x:c r="F62" s="2"/>
      <x:c r="G62" s="2"/>
      <x:c r="H62" s="2"/>
      <x:c r="I62" s="2"/>
      <x:c r="J62" s="2"/>
      <x:c r="K62" s="2"/>
      <x:c r="L62" s="2"/>
    </x:row>
    <x:row r="63" ht="44" customHeight="1">
      <x:c r="A63" s="2" t="str">
        <x:v>SUP-DEMO-001</x:v>
      </x:c>
      <x:c r="B63" s="2" t="str">
        <x:v>ISO 9001:2015</x:v>
      </x:c>
      <x:c r="C63" s="2" t="str">
        <x:v>Synthetic certificate packet</x:v>
      </x:c>
      <x:c r="D63" s="16" t="str">
        <x:v>Fictional qualification evidence. No real certificate attached.</x:v>
      </x:c>
      <x:c r="E63" s="2"/>
      <x:c r="F63" s="2"/>
      <x:c r="G63" s="2"/>
      <x:c r="H63" s="2"/>
      <x:c r="I63" s="2"/>
      <x:c r="J63" s="2"/>
      <x:c r="K63" s="2"/>
      <x:c r="L63" s="2"/>
    </x:row>
    <x:row r="64" ht="44" customHeight="1">
      <x:c r="A64" s="2" t="str">
        <x:v>SUP-DEMO-001</x:v>
      </x:c>
      <x:c r="B64" s="2" t="str">
        <x:v>AS9100D</x:v>
      </x:c>
      <x:c r="C64" s="2" t="str">
        <x:v>not supplied</x:v>
      </x:c>
      <x:c r="D64" s="16" t="str">
        <x:v>not supplied</x:v>
      </x:c>
      <x:c r="E64" s="2"/>
      <x:c r="F64" s="2"/>
      <x:c r="G64" s="2"/>
      <x:c r="H64" s="2"/>
      <x:c r="I64" s="2"/>
      <x:c r="J64" s="2"/>
      <x:c r="K64" s="2"/>
      <x:c r="L64" s="2"/>
    </x:row>
    <x:row r="65" ht="44" customHeight="1">
      <x:c r="A65" s="2" t="str">
        <x:v>SUP-DEMO-002</x:v>
      </x:c>
      <x:c r="B65" s="2" t="str">
        <x:v>ISO 9001:2015</x:v>
      </x:c>
      <x:c r="C65" s="2" t="str">
        <x:v>Synthetic certificate packet</x:v>
      </x:c>
      <x:c r="D65" s="16" t="str">
        <x:v>Fictional qualification evidence. No real certificate attached.</x:v>
      </x:c>
      <x:c r="E65" s="2"/>
      <x:c r="F65" s="2"/>
      <x:c r="G65" s="2"/>
      <x:c r="H65" s="2"/>
      <x:c r="I65" s="2"/>
      <x:c r="J65" s="2"/>
      <x:c r="K65" s="2"/>
      <x:c r="L65" s="2"/>
    </x:row>
    <x:row r="66" ht="44" customHeight="1">
      <x:c r="A66" s="2" t="str">
        <x:v>SUP-DEMO-002</x:v>
      </x:c>
      <x:c r="B66" s="2" t="str">
        <x:v>AS9100D</x:v>
      </x:c>
      <x:c r="C66" s="2" t="str">
        <x:v>Synthetic certificate packet</x:v>
      </x:c>
      <x:c r="D66" s="16" t="str">
        <x:v>Fictional qualification evidence. No real certificate attached.</x:v>
      </x:c>
      <x:c r="E66" s="2"/>
      <x:c r="F66" s="2"/>
      <x:c r="G66" s="2"/>
      <x:c r="H66" s="2"/>
      <x:c r="I66" s="2"/>
      <x:c r="J66" s="2"/>
      <x:c r="K66" s="2"/>
      <x:c r="L66" s="2"/>
    </x:row>
    <x:row r="67" ht="44" customHeight="1">
      <x:c r="A67" s="2" t="str">
        <x:v>SUP-DEMO-003</x:v>
      </x:c>
      <x:c r="B67" s="2" t="str">
        <x:v>ISO 9001:2015</x:v>
      </x:c>
      <x:c r="C67" s="2" t="str">
        <x:v>Synthetic certificate packet</x:v>
      </x:c>
      <x:c r="D67" s="16" t="str">
        <x:v>Fictional qualification evidence. No real certificate attached.</x:v>
      </x:c>
      <x:c r="E67" s="2"/>
      <x:c r="F67" s="2"/>
      <x:c r="G67" s="2"/>
      <x:c r="H67" s="2"/>
      <x:c r="I67" s="2"/>
      <x:c r="J67" s="2"/>
      <x:c r="K67" s="2"/>
      <x:c r="L67" s="2"/>
    </x:row>
    <x:row r="68" ht="44" customHeight="1">
      <x:c r="A68" s="2" t="str">
        <x:v>SUP-DEMO-003</x:v>
      </x:c>
      <x:c r="B68" s="2" t="str">
        <x:v>AS9100D</x:v>
      </x:c>
      <x:c r="C68" s="2" t="str">
        <x:v>not supplied</x:v>
      </x:c>
      <x:c r="D68" s="16" t="str">
        <x:v>not supplied</x:v>
      </x:c>
      <x:c r="E68" s="2"/>
      <x:c r="F68" s="2"/>
      <x:c r="G68" s="2"/>
      <x:c r="H68" s="2"/>
      <x:c r="I68" s="2"/>
      <x:c r="J68" s="2"/>
      <x:c r="K68" s="2"/>
      <x:c r="L68" s="2"/>
    </x:row>
    <x:row r="69" ht="44" customHeight="1">
      <x:c r="A69" s="2" t="str">
        <x:v>SUP-DEMO-004</x:v>
      </x:c>
      <x:c r="B69" s="2" t="str">
        <x:v>ISO 9001:2015</x:v>
      </x:c>
      <x:c r="C69" s="2" t="str">
        <x:v>not supplied</x:v>
      </x:c>
      <x:c r="D69" s="16" t="str">
        <x:v>not supplied</x:v>
      </x:c>
      <x:c r="E69" s="2"/>
      <x:c r="F69" s="2"/>
      <x:c r="G69" s="2"/>
      <x:c r="H69" s="2"/>
      <x:c r="I69" s="2"/>
      <x:c r="J69" s="2"/>
      <x:c r="K69" s="2"/>
      <x:c r="L69" s="2"/>
    </x:row>
    <x:row r="70" ht="44" customHeight="1">
      <x:c r="A70" s="2" t="str">
        <x:v>SUP-DEMO-004</x:v>
      </x:c>
      <x:c r="B70" s="2" t="str">
        <x:v>AS9100D</x:v>
      </x:c>
      <x:c r="C70" s="2" t="str">
        <x:v>Synthetic certificate packet</x:v>
      </x:c>
      <x:c r="D70" s="16" t="str">
        <x:v>Fictional qualification evidence. No real certificate attached.</x:v>
      </x:c>
      <x:c r="E70" s="2"/>
      <x:c r="F70" s="2"/>
      <x:c r="G70" s="2"/>
      <x:c r="H70" s="2"/>
      <x:c r="I70" s="2"/>
      <x:c r="J70" s="2"/>
      <x:c r="K70" s="2"/>
      <x:c r="L70" s="2"/>
    </x:row>
    <x:row r="71" ht="24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4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24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4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4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4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</x:sheetData>
  <x:pageMargins left="0.7" right="0.7" top="0.75" bottom="0.75" header="0.3" footer="0.3"/>
  <x:tableParts count="6">
    <x:tablePart xmlns:r="http://schemas.openxmlformats.org/officeDocument/2006/relationships" r:id="R65f0c6784b014f5b"/>
    <x:tablePart xmlns:r="http://schemas.openxmlformats.org/officeDocument/2006/relationships" r:id="R06610da0cc6a4bd5"/>
    <x:tablePart xmlns:r="http://schemas.openxmlformats.org/officeDocument/2006/relationships" r:id="R1a4f319b75d24218"/>
    <x:tablePart xmlns:r="http://schemas.openxmlformats.org/officeDocument/2006/relationships" r:id="R21be41b06ebf4ebe"/>
    <x:tablePart xmlns:r="http://schemas.openxmlformats.org/officeDocument/2006/relationships" r:id="R45a4a348d7094065"/>
    <x:tablePart xmlns:r="http://schemas.openxmlformats.org/officeDocument/2006/relationships" r:id="Red35b3245c0045ad"/>
  </x:tableParts>
</x:worksheet>
</file>